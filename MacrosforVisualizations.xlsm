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lewis.sms.ed.ac.uk\home\s2401891\Win7\Desktop\EXCEL\"/>
    </mc:Choice>
  </mc:AlternateContent>
  <xr:revisionPtr revIDLastSave="0" documentId="14_{80906AD3-080D-40FD-A109-68551AD7EA7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aste Management" sheetId="22" r:id="rId1"/>
  </sheets>
  <definedNames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" i="22" l="1"/>
  <c r="I9" i="22"/>
  <c r="I11" i="22"/>
  <c r="I5" i="22"/>
  <c r="I12" i="22" l="1"/>
  <c r="I10" i="22"/>
  <c r="I8" i="22"/>
  <c r="I6" i="22"/>
</calcChain>
</file>

<file path=xl/sharedStrings.xml><?xml version="1.0" encoding="utf-8"?>
<sst xmlns="http://schemas.openxmlformats.org/spreadsheetml/2006/main" count="69" uniqueCount="68">
  <si>
    <t>CAGR</t>
  </si>
  <si>
    <t>ACT</t>
  </si>
  <si>
    <t>NSW</t>
  </si>
  <si>
    <t>NT</t>
  </si>
  <si>
    <t>SA</t>
  </si>
  <si>
    <t>WA</t>
  </si>
  <si>
    <t>Core Waste Ton PC</t>
  </si>
  <si>
    <t>State/Territory</t>
  </si>
  <si>
    <t>QLD</t>
  </si>
  <si>
    <t>TAS</t>
  </si>
  <si>
    <t>VIC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</si>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</sst>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Arial"/>
      <family val="2"/>
    </font>
    <font>
      <u/>
      <sz val="11"/>
      <name val="Calibri"/>
      <family val="2"/>
      <scheme val="minor"/>
    </font>
    <font>
      <b/>
      <sz val="18"/>
      <color theme="0"/>
      <name val="Calibri Light"/>
      <family val="2"/>
      <scheme val="major"/>
    </font>
    <font>
      <b/>
      <sz val="12"/>
      <color theme="0"/>
      <name val="Calibri"/>
      <family val="2"/>
      <scheme val="minor"/>
    </font>
    <font>
      <b/>
      <sz val="12"/>
      <color theme="0"/>
      <name val="Calibri"/>
      <family val="2"/>
      <charset val="161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-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19" fillId="0" borderId="0" xfId="0" applyFont="1"/>
    <xf numFmtId="9" fontId="19" fillId="0" borderId="0" xfId="43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43" applyNumberFormat="1" applyFont="1" applyFill="1" applyBorder="1"/>
    <xf numFmtId="0" fontId="19" fillId="0" borderId="0" xfId="43" applyNumberFormat="1" applyFont="1" applyFill="1" applyBorder="1" applyAlignment="1"/>
    <xf numFmtId="0" fontId="21" fillId="0" borderId="0" xfId="0" applyFont="1"/>
    <xf numFmtId="0" fontId="22" fillId="0" borderId="0" xfId="0" applyFont="1"/>
    <xf numFmtId="2" fontId="19" fillId="0" borderId="0" xfId="0" applyNumberFormat="1" applyFont="1" applyAlignment="1">
      <alignment horizontal="center" vertical="center" wrapText="1"/>
    </xf>
    <xf numFmtId="164" fontId="19" fillId="0" borderId="0" xfId="43" applyNumberFormat="1" applyFont="1" applyFill="1" applyBorder="1" applyAlignment="1">
      <alignment horizontal="center" vertical="center" wrapText="1"/>
    </xf>
    <xf numFmtId="9" fontId="19" fillId="0" borderId="0" xfId="0" applyNumberFormat="1" applyFont="1"/>
    <xf numFmtId="0" fontId="23" fillId="0" borderId="0" xfId="42" applyFont="1" applyFill="1" applyBorder="1"/>
    <xf numFmtId="0" fontId="0" fillId="0" borderId="0" xfId="0" applyAlignment="1">
      <alignment horizontal="left"/>
    </xf>
    <xf numFmtId="0" fontId="16" fillId="0" borderId="0" xfId="0" applyFont="1" applyAlignment="1">
      <alignment vertical="center" wrapText="1"/>
    </xf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49" fontId="26" fillId="33" borderId="0" xfId="0" applyNumberFormat="1" applyFont="1" applyFill="1" applyAlignment="1">
      <alignment horizontal="center" vertical="center"/>
    </xf>
    <xf numFmtId="0" fontId="24" fillId="33" borderId="0" xfId="1" applyFont="1" applyFill="1" applyBorder="1" applyAlignment="1">
      <alignment horizontal="center"/>
    </xf>
    <xf numFmtId="0" fontId="25" fillId="33" borderId="0" xfId="5" applyFont="1" applyFill="1" applyBorder="1" applyAlignment="1">
      <alignment horizontal="center" vertical="center" wrapText="1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theme="0"/>
      </font>
      <fill>
        <patternFill>
          <bgColor theme="7" tint="-0.2499465926084170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</xdr:colOff>
      <xdr:row>12</xdr:row>
      <xdr:rowOff>7937</xdr:rowOff>
    </xdr:from>
    <xdr:to>
      <xdr:col>9</xdr:col>
      <xdr:colOff>38554</xdr:colOff>
      <xdr:row>36</xdr:row>
      <xdr:rowOff>103590</xdr:rowOff>
    </xdr:to>
    <xdr:pic>
      <xdr:nvPicPr>
        <xdr:cNvPr id="2" name="Picture 1" descr="A map of australia with different countries/regions&#10;&#10;Description automatically generated">
          <a:extLst>
            <a:ext uri="{FF2B5EF4-FFF2-40B4-BE49-F238E27FC236}">
              <a16:creationId xmlns:a16="http://schemas.microsoft.com/office/drawing/2014/main" id="{59F5620D-AB27-463E-961E-B151E80D4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" y="2365375"/>
          <a:ext cx="7094992" cy="4477153"/>
        </a:xfrm>
        <a:prstGeom prst="rect">
          <a:avLst/>
        </a:prstGeom>
      </xdr:spPr>
    </xdr:pic>
    <xdr:clientData/>
  </xdr:twoCellAnchor>
  <xdr:twoCellAnchor>
    <xdr:from>
      <xdr:col>7</xdr:col>
      <xdr:colOff>318024</xdr:colOff>
      <xdr:row>28</xdr:row>
      <xdr:rowOff>89579</xdr:rowOff>
    </xdr:from>
    <xdr:to>
      <xdr:col>7</xdr:col>
      <xdr:colOff>508523</xdr:colOff>
      <xdr:row>29</xdr:row>
      <xdr:rowOff>82777</xdr:rowOff>
    </xdr:to>
    <xdr:sp macro="[0]!A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5BB11EE-6C06-4336-96BF-25DB1E5FB714}"/>
            </a:ext>
          </a:extLst>
        </xdr:cNvPr>
        <xdr:cNvSpPr/>
      </xdr:nvSpPr>
      <xdr:spPr>
        <a:xfrm>
          <a:off x="5659962" y="5368017"/>
          <a:ext cx="190499" cy="175760"/>
        </a:xfrm>
        <a:prstGeom prst="round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135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230624</xdr:colOff>
      <xdr:row>33</xdr:row>
      <xdr:rowOff>165989</xdr:rowOff>
    </xdr:from>
    <xdr:to>
      <xdr:col>6</xdr:col>
      <xdr:colOff>421123</xdr:colOff>
      <xdr:row>34</xdr:row>
      <xdr:rowOff>159185</xdr:rowOff>
    </xdr:to>
    <xdr:sp macro="[0]!_xludf.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0DB18C0-1EC5-43BA-85C8-F87B091A0F52}"/>
            </a:ext>
          </a:extLst>
        </xdr:cNvPr>
        <xdr:cNvSpPr/>
      </xdr:nvSpPr>
      <xdr:spPr>
        <a:xfrm>
          <a:off x="4707374" y="6357239"/>
          <a:ext cx="190499" cy="175759"/>
        </a:xfrm>
        <a:prstGeom prst="round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135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5</xdr:col>
      <xdr:colOff>707397</xdr:colOff>
      <xdr:row>27</xdr:row>
      <xdr:rowOff>103711</xdr:rowOff>
    </xdr:from>
    <xdr:to>
      <xdr:col>6</xdr:col>
      <xdr:colOff>32796</xdr:colOff>
      <xdr:row>28</xdr:row>
      <xdr:rowOff>96907</xdr:rowOff>
    </xdr:to>
    <xdr:sp macro="[0]!NSW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ADFC7EA-AEB3-4336-B6A9-B98385E8DBBF}"/>
            </a:ext>
          </a:extLst>
        </xdr:cNvPr>
        <xdr:cNvSpPr/>
      </xdr:nvSpPr>
      <xdr:spPr>
        <a:xfrm>
          <a:off x="4318960" y="5199586"/>
          <a:ext cx="190586" cy="175759"/>
        </a:xfrm>
        <a:prstGeom prst="round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135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18143</xdr:colOff>
      <xdr:row>20</xdr:row>
      <xdr:rowOff>107372</xdr:rowOff>
    </xdr:from>
    <xdr:to>
      <xdr:col>6</xdr:col>
      <xdr:colOff>208642</xdr:colOff>
      <xdr:row>21</xdr:row>
      <xdr:rowOff>100570</xdr:rowOff>
    </xdr:to>
    <xdr:sp macro="[0]!Q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4C97452-418D-4762-AB6A-B12E2808523D}"/>
            </a:ext>
          </a:extLst>
        </xdr:cNvPr>
        <xdr:cNvSpPr/>
      </xdr:nvSpPr>
      <xdr:spPr>
        <a:xfrm>
          <a:off x="4494893" y="3925310"/>
          <a:ext cx="190499" cy="175760"/>
        </a:xfrm>
        <a:prstGeom prst="round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135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495440</xdr:colOff>
      <xdr:row>20</xdr:row>
      <xdr:rowOff>159184</xdr:rowOff>
    </xdr:from>
    <xdr:to>
      <xdr:col>4</xdr:col>
      <xdr:colOff>685939</xdr:colOff>
      <xdr:row>21</xdr:row>
      <xdr:rowOff>152383</xdr:rowOff>
    </xdr:to>
    <xdr:sp macro="[0]!N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230B51A-B069-45E7-97AD-FB82918EF6C6}"/>
            </a:ext>
          </a:extLst>
        </xdr:cNvPr>
        <xdr:cNvSpPr/>
      </xdr:nvSpPr>
      <xdr:spPr>
        <a:xfrm>
          <a:off x="3241815" y="3977122"/>
          <a:ext cx="190499" cy="175761"/>
        </a:xfrm>
        <a:prstGeom prst="round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135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173578</xdr:colOff>
      <xdr:row>20</xdr:row>
      <xdr:rowOff>159184</xdr:rowOff>
    </xdr:from>
    <xdr:to>
      <xdr:col>3</xdr:col>
      <xdr:colOff>364077</xdr:colOff>
      <xdr:row>21</xdr:row>
      <xdr:rowOff>152383</xdr:rowOff>
    </xdr:to>
    <xdr:sp macro="[0]!WA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377F242-2C27-43BD-9532-FC2DB6D96109}"/>
            </a:ext>
          </a:extLst>
        </xdr:cNvPr>
        <xdr:cNvSpPr/>
      </xdr:nvSpPr>
      <xdr:spPr>
        <a:xfrm>
          <a:off x="2054766" y="3977122"/>
          <a:ext cx="190499" cy="175761"/>
        </a:xfrm>
        <a:prstGeom prst="round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135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722575</xdr:colOff>
      <xdr:row>26</xdr:row>
      <xdr:rowOff>88532</xdr:rowOff>
    </xdr:from>
    <xdr:to>
      <xdr:col>5</xdr:col>
      <xdr:colOff>47973</xdr:colOff>
      <xdr:row>27</xdr:row>
      <xdr:rowOff>81731</xdr:rowOff>
    </xdr:to>
    <xdr:sp macro="[0]!S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1D6AD2E9-F77B-4094-9F96-C93FB9C29F32}"/>
            </a:ext>
          </a:extLst>
        </xdr:cNvPr>
        <xdr:cNvSpPr/>
      </xdr:nvSpPr>
      <xdr:spPr>
        <a:xfrm>
          <a:off x="3468950" y="5001845"/>
          <a:ext cx="190586" cy="175761"/>
        </a:xfrm>
        <a:prstGeom prst="round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135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179335</xdr:colOff>
      <xdr:row>30</xdr:row>
      <xdr:rowOff>171745</xdr:rowOff>
    </xdr:from>
    <xdr:to>
      <xdr:col>6</xdr:col>
      <xdr:colOff>369834</xdr:colOff>
      <xdr:row>31</xdr:row>
      <xdr:rowOff>164943</xdr:rowOff>
    </xdr:to>
    <xdr:sp macro="[0]!V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3159D70A-B42F-4199-8B4A-EADD33DDED1F}"/>
            </a:ext>
          </a:extLst>
        </xdr:cNvPr>
        <xdr:cNvSpPr/>
      </xdr:nvSpPr>
      <xdr:spPr>
        <a:xfrm>
          <a:off x="4656085" y="5815308"/>
          <a:ext cx="190499" cy="175760"/>
        </a:xfrm>
        <a:prstGeom prst="round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135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B1:W63"/>
  <sheetViews>
    <sheetView showGridLines="0" tabSelected="1" zoomScale="120" zoomScaleNormal="120" workbookViewId="0">
      <selection activeCell="M9" sqref="M9"/>
    </sheetView>
  </sheetViews>
  <sheetFormatPr defaultColWidth="9" defaultRowHeight="14.85" customHeight="1" x14ac:dyDescent="0.25"/>
  <cols>
    <col min="1" max="1" width="1.140625" style="1" customWidth="1"/>
    <col min="2" max="2" width="14" style="6" customWidth="1"/>
    <col min="3" max="9" width="13" style="1" customWidth="1"/>
    <col min="10" max="10" width="2.5703125" style="3" customWidth="1"/>
    <col min="11" max="11" width="12.28515625" style="1" customWidth="1"/>
    <col min="12" max="12" width="12.42578125" style="1" customWidth="1"/>
    <col min="13" max="13" width="10.85546875" style="1" customWidth="1"/>
    <col min="14" max="14" width="10.7109375" style="1" customWidth="1"/>
    <col min="15" max="16" width="15.85546875" style="1" customWidth="1"/>
    <col min="17" max="19" width="10.85546875" style="1" customWidth="1"/>
    <col min="20" max="21" width="10.85546875" style="3" hidden="1" customWidth="1"/>
    <col min="22" max="24" width="10.85546875" style="1" customWidth="1"/>
    <col min="25" max="28" width="6.85546875" style="1" customWidth="1"/>
    <col min="29" max="16384" width="9" style="1"/>
  </cols>
  <sheetData>
    <row r="1" spans="2:23" ht="28.15" customHeight="1" x14ac:dyDescent="0.35">
      <c r="B1" s="17" t="s">
        <v>67</v>
      </c>
      <c r="C1" s="17"/>
      <c r="D1" s="17"/>
      <c r="E1" s="17"/>
      <c r="F1" s="17"/>
      <c r="G1" s="17"/>
      <c r="H1" s="17"/>
      <c r="I1" s="17"/>
      <c r="J1" s="2"/>
      <c r="K1" s="16" t="s">
        <v>10</v>
      </c>
      <c r="M1" s="4"/>
      <c r="N1" s="5"/>
      <c r="O1" s="4"/>
      <c r="P1" s="4"/>
    </row>
    <row r="2" spans="2:23" ht="14.85" customHeight="1" x14ac:dyDescent="0.25">
      <c r="B2" s="18" t="s">
        <v>6</v>
      </c>
      <c r="C2" s="18"/>
      <c r="D2" s="18"/>
      <c r="E2" s="18"/>
      <c r="F2" s="18"/>
      <c r="G2" s="18"/>
      <c r="H2" s="18"/>
      <c r="I2" s="18"/>
      <c r="J2"/>
      <c r="K2"/>
      <c r="L2"/>
      <c r="M2"/>
      <c r="N2"/>
      <c r="O2"/>
      <c r="P2"/>
      <c r="Q2"/>
      <c r="R2"/>
      <c r="S2"/>
      <c r="T2"/>
      <c r="U2"/>
      <c r="V2"/>
      <c r="W2"/>
    </row>
    <row r="3" spans="2:23" ht="14.85" customHeight="1" x14ac:dyDescent="0.25">
      <c r="I3" s="7"/>
      <c r="J3"/>
      <c r="K3"/>
      <c r="L3"/>
      <c r="M3"/>
      <c r="N3"/>
      <c r="O3"/>
      <c r="P3"/>
      <c r="Q3"/>
      <c r="R3"/>
      <c r="S3"/>
      <c r="T3" t="s">
        <v>11</v>
      </c>
      <c r="U3" t="s">
        <v>39</v>
      </c>
      <c r="V3"/>
      <c r="W3"/>
    </row>
    <row r="4" spans="2:23" ht="14.85" customHeight="1" x14ac:dyDescent="0.25">
      <c r="B4" s="14" t="s">
        <v>7</v>
      </c>
      <c r="C4" s="15">
        <v>2013</v>
      </c>
      <c r="D4" s="15">
        <v>2015</v>
      </c>
      <c r="E4" s="15">
        <v>2017</v>
      </c>
      <c r="F4" s="15">
        <v>2019</v>
      </c>
      <c r="G4" s="15">
        <v>2021</v>
      </c>
      <c r="H4" s="15">
        <v>2023</v>
      </c>
      <c r="I4" s="15" t="s">
        <v>0</v>
      </c>
      <c r="J4"/>
      <c r="K4"/>
      <c r="L4"/>
      <c r="M4"/>
      <c r="N4"/>
      <c r="O4"/>
      <c r="P4"/>
      <c r="Q4"/>
      <c r="R4"/>
      <c r="S4"/>
      <c r="T4" t="s">
        <v>12</v>
      </c>
      <c r="U4" t="s">
        <v>40</v>
      </c>
      <c r="V4"/>
      <c r="W4"/>
    </row>
    <row r="5" spans="2:23" ht="14.85" customHeight="1" x14ac:dyDescent="0.25">
      <c r="B5" s="13" t="s">
        <v>1</v>
      </c>
      <c r="C5" s="8">
        <v>2.0828402366863905</v>
      </c>
      <c r="D5" s="8">
        <v>2.0398860398860399</v>
      </c>
      <c r="E5" s="8">
        <v>2.4438356164383563</v>
      </c>
      <c r="F5" s="8">
        <v>1.8091603053435115</v>
      </c>
      <c r="G5" s="8">
        <v>2.1825000000000001</v>
      </c>
      <c r="H5" s="8">
        <v>2.3177339901477834</v>
      </c>
      <c r="I5" s="9">
        <f t="shared" ref="I5:I12" si="0">(H5/C5)^(1/10)-1</f>
        <v>1.0743048481739459E-2</v>
      </c>
      <c r="J5"/>
      <c r="K5"/>
      <c r="L5"/>
      <c r="M5"/>
      <c r="N5"/>
      <c r="O5"/>
      <c r="P5"/>
      <c r="Q5"/>
      <c r="R5"/>
      <c r="S5"/>
      <c r="T5" t="s">
        <v>13</v>
      </c>
      <c r="U5" t="s">
        <v>41</v>
      </c>
      <c r="V5"/>
      <c r="W5"/>
    </row>
    <row r="6" spans="2:23" ht="14.85" customHeight="1" x14ac:dyDescent="0.25">
      <c r="B6" s="13" t="s">
        <v>2</v>
      </c>
      <c r="C6" s="8">
        <v>2.3376068376068377</v>
      </c>
      <c r="D6" s="8">
        <v>2.6406740931162527</v>
      </c>
      <c r="E6" s="8">
        <v>2.4350974930362117</v>
      </c>
      <c r="F6" s="8">
        <v>2.3359302786214182</v>
      </c>
      <c r="G6" s="8">
        <v>2.3366749121208175</v>
      </c>
      <c r="H6" s="8">
        <v>2.319312644267761</v>
      </c>
      <c r="I6" s="9">
        <f t="shared" si="0"/>
        <v>-7.8537336340878117E-4</v>
      </c>
      <c r="J6"/>
      <c r="K6"/>
      <c r="L6"/>
      <c r="M6"/>
      <c r="N6"/>
      <c r="O6"/>
      <c r="P6"/>
      <c r="Q6"/>
      <c r="R6"/>
      <c r="S6"/>
      <c r="T6" t="s">
        <v>14</v>
      </c>
      <c r="U6" t="s">
        <v>42</v>
      </c>
      <c r="V6"/>
      <c r="W6"/>
    </row>
    <row r="7" spans="2:23" ht="14.85" customHeight="1" x14ac:dyDescent="0.25">
      <c r="B7" s="13" t="s">
        <v>3</v>
      </c>
      <c r="C7" s="8">
        <v>2.5023696682464456</v>
      </c>
      <c r="D7" s="8">
        <v>1.6771300448430493</v>
      </c>
      <c r="E7" s="8">
        <v>1.6130434782608696</v>
      </c>
      <c r="F7" s="8">
        <v>1.9506172839506173</v>
      </c>
      <c r="G7" s="8">
        <v>1.9959016393442623</v>
      </c>
      <c r="H7" s="8">
        <v>1.416326530612245</v>
      </c>
      <c r="I7" s="9">
        <f t="shared" si="0"/>
        <v>-5.5327675408438859E-2</v>
      </c>
      <c r="J7"/>
      <c r="K7"/>
      <c r="L7"/>
      <c r="M7"/>
      <c r="N7"/>
      <c r="O7"/>
      <c r="P7"/>
      <c r="Q7"/>
      <c r="R7"/>
      <c r="S7"/>
      <c r="T7" t="s">
        <v>15</v>
      </c>
      <c r="U7" t="s">
        <v>43</v>
      </c>
      <c r="V7"/>
      <c r="W7"/>
    </row>
    <row r="8" spans="2:23" ht="14.85" customHeight="1" x14ac:dyDescent="0.25">
      <c r="B8" s="13" t="s">
        <v>8</v>
      </c>
      <c r="C8" s="8">
        <v>2.363412228796844</v>
      </c>
      <c r="D8" s="8">
        <v>2.2832086061739942</v>
      </c>
      <c r="E8" s="8">
        <v>2.0538652242506199</v>
      </c>
      <c r="F8" s="8">
        <v>2.2293288449400377</v>
      </c>
      <c r="G8" s="8">
        <v>2.1446083523789734</v>
      </c>
      <c r="H8" s="8">
        <v>2.3024160524160524</v>
      </c>
      <c r="I8" s="9">
        <f t="shared" si="0"/>
        <v>-2.6113250720505299E-3</v>
      </c>
      <c r="J8"/>
      <c r="K8"/>
      <c r="L8"/>
      <c r="M8"/>
      <c r="N8"/>
      <c r="O8"/>
      <c r="P8"/>
      <c r="Q8"/>
      <c r="R8"/>
      <c r="S8"/>
      <c r="T8" t="s">
        <v>16</v>
      </c>
      <c r="U8" t="s">
        <v>44</v>
      </c>
      <c r="V8"/>
      <c r="W8"/>
    </row>
    <row r="9" spans="2:23" ht="14.85" customHeight="1" x14ac:dyDescent="0.25">
      <c r="B9" s="13" t="s">
        <v>4</v>
      </c>
      <c r="C9" s="8">
        <v>1.9955156950672646</v>
      </c>
      <c r="D9" s="8">
        <v>2.0775969962453065</v>
      </c>
      <c r="E9" s="8">
        <v>2.346813725490196</v>
      </c>
      <c r="F9" s="8">
        <v>2.2497048406139317</v>
      </c>
      <c r="G9" s="8">
        <v>2.3831282952548332</v>
      </c>
      <c r="H9" s="8">
        <v>2.3494467093768199</v>
      </c>
      <c r="I9" s="9">
        <f t="shared" si="0"/>
        <v>1.6461760604046694E-2</v>
      </c>
      <c r="J9"/>
      <c r="K9"/>
      <c r="L9"/>
      <c r="M9"/>
      <c r="N9"/>
      <c r="O9"/>
      <c r="P9"/>
      <c r="Q9"/>
      <c r="R9"/>
      <c r="S9"/>
      <c r="T9" t="s">
        <v>17</v>
      </c>
      <c r="U9" t="s">
        <v>45</v>
      </c>
      <c r="V9"/>
      <c r="W9"/>
    </row>
    <row r="10" spans="2:23" ht="14.85" customHeight="1" x14ac:dyDescent="0.25">
      <c r="B10" s="13" t="s">
        <v>9</v>
      </c>
      <c r="C10" s="8">
        <v>1.6890243902439024</v>
      </c>
      <c r="D10" s="8">
        <v>1.5677290836653386</v>
      </c>
      <c r="E10" s="8">
        <v>1.8117647058823529</v>
      </c>
      <c r="F10" s="8">
        <v>1.811284046692607</v>
      </c>
      <c r="G10" s="8">
        <v>2.0658914728682172</v>
      </c>
      <c r="H10" s="8">
        <v>1.8073217726396917</v>
      </c>
      <c r="I10" s="9">
        <f t="shared" si="0"/>
        <v>6.7924635952900658E-3</v>
      </c>
      <c r="J10"/>
      <c r="K10"/>
      <c r="L10"/>
      <c r="M10"/>
      <c r="N10"/>
      <c r="Q10"/>
      <c r="R10"/>
      <c r="S10"/>
      <c r="T10" t="s">
        <v>18</v>
      </c>
      <c r="U10" t="s">
        <v>46</v>
      </c>
      <c r="V10"/>
      <c r="W10"/>
    </row>
    <row r="11" spans="2:23" ht="14.85" customHeight="1" x14ac:dyDescent="0.25">
      <c r="B11" s="13" t="s">
        <v>10</v>
      </c>
      <c r="C11" s="8">
        <v>2.3683385579937304</v>
      </c>
      <c r="D11" s="8">
        <v>2.1680782985130813</v>
      </c>
      <c r="E11" s="8">
        <v>2.3957423580786026</v>
      </c>
      <c r="F11" s="8">
        <v>2.20465973851827</v>
      </c>
      <c r="G11" s="8">
        <v>2.1877664808133814</v>
      </c>
      <c r="H11" s="8">
        <v>2.1963484945547727</v>
      </c>
      <c r="I11" s="9">
        <f t="shared" si="0"/>
        <v>-7.5108984348842833E-3</v>
      </c>
      <c r="J11"/>
      <c r="K11"/>
      <c r="L11"/>
      <c r="M11"/>
      <c r="N11"/>
      <c r="O11"/>
      <c r="P11"/>
      <c r="Q11"/>
      <c r="R11"/>
      <c r="S11"/>
      <c r="T11" t="s">
        <v>19</v>
      </c>
      <c r="U11" t="s">
        <v>47</v>
      </c>
      <c r="V11"/>
      <c r="W11"/>
    </row>
    <row r="12" spans="2:23" ht="14.85" customHeight="1" x14ac:dyDescent="0.25">
      <c r="B12" s="13" t="s">
        <v>5</v>
      </c>
      <c r="C12" s="8">
        <v>2.806451612903226</v>
      </c>
      <c r="D12" s="8">
        <v>2.7125396106835673</v>
      </c>
      <c r="E12" s="8">
        <v>2.7593790426908149</v>
      </c>
      <c r="F12" s="8">
        <v>2.6427161468614293</v>
      </c>
      <c r="G12" s="8">
        <v>2.2218737749902</v>
      </c>
      <c r="H12" s="8">
        <v>2.0179127725856696</v>
      </c>
      <c r="I12" s="9">
        <f t="shared" si="0"/>
        <v>-3.244762558946801E-2</v>
      </c>
      <c r="J12"/>
      <c r="K12"/>
      <c r="L12"/>
      <c r="M12"/>
      <c r="N12"/>
      <c r="O12"/>
      <c r="P12"/>
      <c r="Q12"/>
      <c r="R12"/>
      <c r="S12"/>
      <c r="T12" t="s">
        <v>20</v>
      </c>
      <c r="U12" t="s">
        <v>48</v>
      </c>
      <c r="V12"/>
      <c r="W12"/>
    </row>
    <row r="13" spans="2:23" ht="14.85" customHeight="1" x14ac:dyDescent="0.25">
      <c r="B13"/>
      <c r="C13"/>
      <c r="D13"/>
      <c r="E13"/>
      <c r="F13"/>
      <c r="G13"/>
      <c r="H13"/>
      <c r="I13"/>
      <c r="J13"/>
      <c r="K13"/>
      <c r="L13"/>
      <c r="M13"/>
      <c r="O13"/>
      <c r="P13"/>
      <c r="Q13"/>
      <c r="R13"/>
      <c r="S13"/>
      <c r="T13" t="s">
        <v>21</v>
      </c>
      <c r="U13" t="s">
        <v>49</v>
      </c>
      <c r="V13"/>
      <c r="W13"/>
    </row>
    <row r="14" spans="2:23" ht="14.85" customHeight="1" x14ac:dyDescent="0.25">
      <c r="B14"/>
      <c r="C14"/>
      <c r="D14"/>
      <c r="E14"/>
      <c r="F14"/>
      <c r="G14"/>
      <c r="H14"/>
      <c r="I14"/>
      <c r="J14"/>
      <c r="K14"/>
      <c r="L14"/>
      <c r="M14"/>
      <c r="O14"/>
      <c r="P14"/>
      <c r="Q14"/>
      <c r="R14"/>
      <c r="S14"/>
      <c r="T14" t="s">
        <v>22</v>
      </c>
      <c r="U14" t="s">
        <v>50</v>
      </c>
      <c r="V14"/>
      <c r="W14"/>
    </row>
    <row r="15" spans="2:23" ht="14.85" customHeight="1" x14ac:dyDescent="0.25">
      <c r="B15"/>
      <c r="C15"/>
      <c r="D15"/>
      <c r="E15"/>
      <c r="F15"/>
      <c r="G15"/>
      <c r="H15"/>
      <c r="I15"/>
      <c r="J15"/>
      <c r="K15"/>
      <c r="L15"/>
      <c r="M15"/>
      <c r="N15"/>
      <c r="P15"/>
      <c r="Q15"/>
      <c r="R15"/>
      <c r="S15"/>
      <c r="T15" t="s">
        <v>23</v>
      </c>
      <c r="U15" t="s">
        <v>51</v>
      </c>
      <c r="V15"/>
      <c r="W15"/>
    </row>
    <row r="16" spans="2:23" ht="14.85" customHeight="1" x14ac:dyDescent="0.25">
      <c r="B16"/>
      <c r="C16"/>
      <c r="D16"/>
      <c r="E16"/>
      <c r="F16"/>
      <c r="G16"/>
      <c r="H16"/>
      <c r="I16"/>
      <c r="J16"/>
      <c r="K16"/>
      <c r="L16"/>
      <c r="M16"/>
      <c r="N16"/>
      <c r="P16"/>
      <c r="Q16"/>
      <c r="R16"/>
      <c r="S16"/>
      <c r="T16" t="s">
        <v>24</v>
      </c>
      <c r="U16" t="s">
        <v>52</v>
      </c>
      <c r="V16"/>
      <c r="W16"/>
    </row>
    <row r="17" spans="2:23" ht="14.85" customHeight="1" x14ac:dyDescent="0.25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Q17"/>
      <c r="R17"/>
      <c r="S17"/>
      <c r="T17" t="s">
        <v>25</v>
      </c>
      <c r="U17" t="s">
        <v>53</v>
      </c>
      <c r="V17"/>
      <c r="W17"/>
    </row>
    <row r="18" spans="2:23" ht="14.85" customHeight="1" x14ac:dyDescent="0.2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 t="s">
        <v>26</v>
      </c>
      <c r="U18" t="s">
        <v>54</v>
      </c>
      <c r="V18"/>
      <c r="W18"/>
    </row>
    <row r="19" spans="2:23" ht="14.85" customHeight="1" x14ac:dyDescent="0.2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R19"/>
      <c r="S19"/>
      <c r="T19" t="s">
        <v>27</v>
      </c>
      <c r="U19" t="s">
        <v>55</v>
      </c>
      <c r="V19"/>
      <c r="W19"/>
    </row>
    <row r="20" spans="2:23" ht="14.85" customHeight="1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R20"/>
      <c r="S20"/>
      <c r="T20" t="s">
        <v>28</v>
      </c>
      <c r="U20" t="s">
        <v>56</v>
      </c>
      <c r="V20"/>
      <c r="W20"/>
    </row>
    <row r="21" spans="2:23" ht="14.85" customHeight="1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Q21"/>
      <c r="R21"/>
      <c r="S21"/>
      <c r="T21" t="s">
        <v>29</v>
      </c>
      <c r="U21" t="s">
        <v>57</v>
      </c>
      <c r="V21"/>
      <c r="W21"/>
    </row>
    <row r="22" spans="2:23" ht="14.85" customHeight="1" x14ac:dyDescent="0.2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 t="s">
        <v>30</v>
      </c>
      <c r="U22" t="s">
        <v>58</v>
      </c>
      <c r="V22"/>
      <c r="W22"/>
    </row>
    <row r="23" spans="2:23" ht="14.85" customHeight="1" x14ac:dyDescent="0.2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 t="s">
        <v>31</v>
      </c>
      <c r="U23" t="s">
        <v>59</v>
      </c>
      <c r="V23"/>
      <c r="W23"/>
    </row>
    <row r="24" spans="2:23" ht="14.85" customHeight="1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Q24"/>
      <c r="R24"/>
      <c r="S24"/>
      <c r="T24" t="s">
        <v>32</v>
      </c>
      <c r="U24" t="s">
        <v>60</v>
      </c>
      <c r="V24"/>
      <c r="W24"/>
    </row>
    <row r="25" spans="2:23" ht="14.85" customHeight="1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Q25"/>
      <c r="R25"/>
      <c r="S25"/>
      <c r="T25" t="s">
        <v>33</v>
      </c>
      <c r="U25" t="s">
        <v>61</v>
      </c>
      <c r="V25"/>
      <c r="W25"/>
    </row>
    <row r="26" spans="2:23" ht="14.85" customHeight="1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 t="s">
        <v>34</v>
      </c>
      <c r="U26" t="s">
        <v>62</v>
      </c>
      <c r="V26"/>
      <c r="W26"/>
    </row>
    <row r="27" spans="2:23" ht="14.85" customHeight="1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 t="s">
        <v>35</v>
      </c>
      <c r="U27" t="s">
        <v>63</v>
      </c>
      <c r="V27"/>
      <c r="W27"/>
    </row>
    <row r="28" spans="2:23" ht="14.85" customHeight="1" x14ac:dyDescent="0.2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 t="s">
        <v>36</v>
      </c>
      <c r="U28" t="s">
        <v>64</v>
      </c>
      <c r="V28"/>
      <c r="W28"/>
    </row>
    <row r="29" spans="2:23" ht="14.85" customHeight="1" x14ac:dyDescent="0.2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 t="s">
        <v>37</v>
      </c>
      <c r="U29" t="s">
        <v>65</v>
      </c>
      <c r="V29"/>
      <c r="W29"/>
    </row>
    <row r="30" spans="2:23" ht="14.85" customHeight="1" x14ac:dyDescent="0.2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 t="s">
        <v>38</v>
      </c>
      <c r="U30" t="s">
        <v>66</v>
      </c>
      <c r="V30"/>
      <c r="W30"/>
    </row>
    <row r="31" spans="2:23" ht="14.85" customHeight="1" x14ac:dyDescent="0.25">
      <c r="B31"/>
      <c r="C31"/>
      <c r="D31"/>
      <c r="E31"/>
      <c r="F31"/>
      <c r="G31"/>
      <c r="H31" s="12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2:23" ht="14.85" customHeight="1" x14ac:dyDescent="0.25">
      <c r="B32"/>
      <c r="C32"/>
      <c r="D32"/>
      <c r="E32"/>
      <c r="F32"/>
      <c r="G32"/>
      <c r="H32" s="1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</row>
    <row r="33" spans="2:23" ht="14.85" customHeight="1" x14ac:dyDescent="0.2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</row>
    <row r="34" spans="2:23" ht="14.85" customHeight="1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2:23" ht="14.85" customHeight="1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2:23" ht="14.85" customHeight="1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2:23" ht="14.85" customHeight="1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2:23" ht="14.85" customHeight="1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</row>
    <row r="39" spans="2:23" ht="14.85" customHeight="1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</row>
    <row r="40" spans="2:23" ht="14.85" customHeigh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</row>
    <row r="41" spans="2:23" ht="14.85" customHeigh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</row>
    <row r="42" spans="2:23" ht="14.85" customHeigh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</row>
    <row r="43" spans="2:23" ht="14.85" customHeigh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</row>
    <row r="44" spans="2:23" ht="14.85" customHeight="1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2:23" ht="14.85" customHeight="1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2:23" ht="14.85" customHeight="1" x14ac:dyDescent="0.25">
      <c r="B46" s="1"/>
    </row>
    <row r="47" spans="2:23" ht="14.85" customHeight="1" x14ac:dyDescent="0.25">
      <c r="B47" s="1"/>
    </row>
    <row r="49" spans="2:5" ht="14.85" customHeight="1" x14ac:dyDescent="0.25">
      <c r="B49" s="1"/>
    </row>
    <row r="50" spans="2:5" ht="14.85" customHeight="1" x14ac:dyDescent="0.25">
      <c r="B50" s="1"/>
    </row>
    <row r="51" spans="2:5" ht="14.85" customHeight="1" x14ac:dyDescent="0.25">
      <c r="B51" s="1"/>
    </row>
    <row r="52" spans="2:5" ht="14.85" customHeight="1" x14ac:dyDescent="0.25">
      <c r="C52" s="10"/>
      <c r="D52" s="10"/>
      <c r="E52" s="10"/>
    </row>
    <row r="63" spans="2:5" ht="14.85" customHeight="1" x14ac:dyDescent="0.25">
      <c r="B63" s="11"/>
    </row>
  </sheetData>
  <mergeCells count="2">
    <mergeCell ref="B1:I1"/>
    <mergeCell ref="B2:I2"/>
  </mergeCells>
  <phoneticPr fontId="20" type="noConversion"/>
  <conditionalFormatting sqref="B5:I13">
    <cfRule type="expression" dxfId="0" priority="1">
      <formula>$B5=$K$1</formula>
    </cfRule>
  </conditionalFormatting>
  <dataValidations count="1">
    <dataValidation type="list" allowBlank="1" showInputMessage="1" showErrorMessage="1" sqref="K1" xr:uid="{6E5B7FFA-CFBA-4CCC-A4D6-3B37F0615B54}">
      <formula1>$B$5:$B$12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'Waste Management'!C13:H13</xm:f>
              <xm:sqref>K13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Waste Management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Exadaktylos</dc:creator>
  <cp:lastModifiedBy>Ria Proskurkina</cp:lastModifiedBy>
  <dcterms:created xsi:type="dcterms:W3CDTF">2020-03-03T02:51:49Z</dcterms:created>
  <dcterms:modified xsi:type="dcterms:W3CDTF">2024-05-17T11:13:30Z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{6C0143E1-9FE8-4DEA-8257-43FECD1427BF}</vt:lpwstr>
  </property>
</Properties>
</file>